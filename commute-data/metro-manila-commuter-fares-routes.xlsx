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o Manila Commuter Fares &amp; R" sheetId="1" r:id="rId5"/>
  </sheets>
  <definedNames/>
  <calcPr/>
</workbook>
</file>

<file path=xl/sharedStrings.xml><?xml version="1.0" encoding="utf-8"?>
<sst xmlns="http://schemas.openxmlformats.org/spreadsheetml/2006/main" count="430" uniqueCount="263">
  <si>
    <t>Origin Location</t>
  </si>
  <si>
    <t>Destination Location</t>
  </si>
  <si>
    <t>Specific Transportation Mode</t>
  </si>
  <si>
    <t>Specific Route Taken by Mode</t>
  </si>
  <si>
    <t>Fare - Regular Rate (PhP)</t>
  </si>
  <si>
    <t>Fare - Discounted Rate (PhP)</t>
  </si>
  <si>
    <t>Distance (km)</t>
  </si>
  <si>
    <t>Earliest Travel Time</t>
  </si>
  <si>
    <t>Last Travel Time</t>
  </si>
  <si>
    <t>Frequency</t>
  </si>
  <si>
    <t>Fairview, Quezon City</t>
  </si>
  <si>
    <t>SM City North Edsa, Quezon City</t>
  </si>
  <si>
    <t>Bus</t>
  </si>
  <si>
    <t>via Commonwealth Ave</t>
  </si>
  <si>
    <t>Every 10-15 mins</t>
  </si>
  <si>
    <t>Monumento, Caloocan City</t>
  </si>
  <si>
    <t>EDSA-Taft, Pasay City</t>
  </si>
  <si>
    <t>Train (LRT-1)</t>
  </si>
  <si>
    <t>LRT Line 1</t>
  </si>
  <si>
    <t>Every 4-10 mins</t>
  </si>
  <si>
    <t>Cubao, Quezon City</t>
  </si>
  <si>
    <t>Ayala Center, Makati City</t>
  </si>
  <si>
    <t>Train (MRT-3)</t>
  </si>
  <si>
    <t>MRT Line 3</t>
  </si>
  <si>
    <t>Every 5-10 mins</t>
  </si>
  <si>
    <t>BGC (Market! Market!), Taguig City</t>
  </si>
  <si>
    <t>BGC Bus</t>
  </si>
  <si>
    <t>East Route</t>
  </si>
  <si>
    <t>Every 15-30 mins</t>
  </si>
  <si>
    <t>Alabang (Starmall), Muntinlupa City</t>
  </si>
  <si>
    <t>P2P Bus</t>
  </si>
  <si>
    <t>via SLEX</t>
  </si>
  <si>
    <t>Every 30-60 mins</t>
  </si>
  <si>
    <t>UP Diliman, Quezon City</t>
  </si>
  <si>
    <t>Philcoa, Quezon City</t>
  </si>
  <si>
    <t>Traditional Jeepney</t>
  </si>
  <si>
    <t>UP-Philcoa Route</t>
  </si>
  <si>
    <t>Quiapo Church, Manila</t>
  </si>
  <si>
    <t>UST (España), Manila</t>
  </si>
  <si>
    <t>Modern Jeepney</t>
  </si>
  <si>
    <t>via España Blvd</t>
  </si>
  <si>
    <t>Every 3-5 mins</t>
  </si>
  <si>
    <t>SM Megamall, Mandaluyong City</t>
  </si>
  <si>
    <t>Rosario, Pasig City</t>
  </si>
  <si>
    <t>UV Express</t>
  </si>
  <si>
    <t>via Ortigas Ave</t>
  </si>
  <si>
    <t>PITX, Parañaque City</t>
  </si>
  <si>
    <t>Lawton, Manila</t>
  </si>
  <si>
    <t>via Roxas Blvd</t>
  </si>
  <si>
    <t>Every 10-20 mins</t>
  </si>
  <si>
    <t>LRT Buendia, Pasay City</t>
  </si>
  <si>
    <t>SM Mall of Asia, Pasay City</t>
  </si>
  <si>
    <t>via Gil Puyat Ave</t>
  </si>
  <si>
    <t>SM City North EDSA, Quezon City</t>
  </si>
  <si>
    <t>Ordinary City Bus</t>
  </si>
  <si>
    <t>via Quirino Highway - Mindanao Ave - EDSA</t>
  </si>
  <si>
    <t>4:30 AM</t>
  </si>
  <si>
    <t>11:00 PM</t>
  </si>
  <si>
    <t>Every 5-10 min during peak hours</t>
  </si>
  <si>
    <t>Cubao (Araneta Center), Quezon City</t>
  </si>
  <si>
    <t>via Commonwealth Ave - Quezon Ave</t>
  </si>
  <si>
    <t>4:00 AM</t>
  </si>
  <si>
    <t>Every 2-5 min during peak hours</t>
  </si>
  <si>
    <t>Ayala Avenue, Makati City</t>
  </si>
  <si>
    <t>EDSA Carousel Bus</t>
  </si>
  <si>
    <t>EDSA Busway - North Ave to Ayala Station</t>
  </si>
  <si>
    <t>Every 3-7 min during peak hours</t>
  </si>
  <si>
    <t>EDSA Busway - Monumento to PITX (full route, southbound)</t>
  </si>
  <si>
    <t>North Avenue (Trinoma), Quezon City</t>
  </si>
  <si>
    <t>Taft Avenue, Pasay City</t>
  </si>
  <si>
    <t>MRT-3</t>
  </si>
  <si>
    <t>EDSA Line - North Ave to Taft Ave (end to end)</t>
  </si>
  <si>
    <t>Every 3-5 min during peak hours</t>
  </si>
  <si>
    <t>Araneta Center-Cubao, Quezon City</t>
  </si>
  <si>
    <t>Ayala, Makati City</t>
  </si>
  <si>
    <t>EDSA Line - Cubao to Ayala station</t>
  </si>
  <si>
    <t>Shaw Boulevard, Mandaluyong City</t>
  </si>
  <si>
    <t>Ortigas (Robinsons Galleria), Quezon City</t>
  </si>
  <si>
    <t>EDSA Line - Shaw to Ortigas</t>
  </si>
  <si>
    <t>Roosevelt, Quezon City</t>
  </si>
  <si>
    <t>Baclaran, Parañaque City</t>
  </si>
  <si>
    <t>LRT-1</t>
  </si>
  <si>
    <t>Roosevelt to Baclaran (end to end via beep card)</t>
  </si>
  <si>
    <t>9:45 PM</t>
  </si>
  <si>
    <t>Doroteo Jose, Manila</t>
  </si>
  <si>
    <t>Monumento to D. Jose (transfer point to LRT-2)</t>
  </si>
  <si>
    <t>Recto, Manila</t>
  </si>
  <si>
    <t>Antipolo, Rizal</t>
  </si>
  <si>
    <t>LRT-2</t>
  </si>
  <si>
    <t>Recto to Antipolo (end to end via beep card)</t>
  </si>
  <si>
    <t>5:00 AM</t>
  </si>
  <si>
    <t>Every 4-7 min during peak hours</t>
  </si>
  <si>
    <t>Katipunan, Quezon City</t>
  </si>
  <si>
    <t>Cubao to Katipunan station</t>
  </si>
  <si>
    <t>BF Resort Village Entrance, Las Piñas City</t>
  </si>
  <si>
    <t>SM Southmall, Las Piñas City</t>
  </si>
  <si>
    <t>Tricycle</t>
  </si>
  <si>
    <t>via Gloria Diaz Ave - Alabang-Zapote Road</t>
  </si>
  <si>
    <t>Every 1-3 min at terminal</t>
  </si>
  <si>
    <t>Aguirre Avenue (BF Homes), Parañaque City</t>
  </si>
  <si>
    <t>President's Avenue, BF Homes Parañaque</t>
  </si>
  <si>
    <t>Within BF Homes Parañaque subdivision</t>
  </si>
  <si>
    <t>12:00 MN</t>
  </si>
  <si>
    <t>Alabang (Festival Mall), Muntinlupa City</t>
  </si>
  <si>
    <t>Lawton (Liwasang Bonifacio), Manila</t>
  </si>
  <si>
    <t>via SLEX - Skyway - Buendia</t>
  </si>
  <si>
    <t>Every 10-20 min (leaves when full)</t>
  </si>
  <si>
    <t>Fairview (Robinsons Novaliches), Quezon City</t>
  </si>
  <si>
    <t>Cubao (Farmers Plaza), Quezon City</t>
  </si>
  <si>
    <t>via Commonwealth Avenue - East Avenue</t>
  </si>
  <si>
    <t>10:30 PM</t>
  </si>
  <si>
    <t>SM Megamall (Ortigas), Mandaluyong City</t>
  </si>
  <si>
    <t>Trinoma, Quezon City</t>
  </si>
  <si>
    <t>Point-to-Point (P2P) Bus</t>
  </si>
  <si>
    <t>via EDSA (Genesis HM Transport)</t>
  </si>
  <si>
    <t>10:00 PM</t>
  </si>
  <si>
    <t>Every 20-30 min</t>
  </si>
  <si>
    <t>NAIA Terminal 3, Pasay City</t>
  </si>
  <si>
    <t>via C-5 - Sales Road (UBE Express)</t>
  </si>
  <si>
    <t>9:30 PM</t>
  </si>
  <si>
    <t>Every 30-60 min</t>
  </si>
  <si>
    <t>Quezon Memorial Circle, Quezon City</t>
  </si>
  <si>
    <t>via Quezon Avenue</t>
  </si>
  <si>
    <t>Divisoria, Manila</t>
  </si>
  <si>
    <t>via Aurora Blvd - España - Recto (10 km route)</t>
  </si>
  <si>
    <t>Aircon City Bus</t>
  </si>
  <si>
    <t>via Roxas Boulevard</t>
  </si>
  <si>
    <t>Every 10-15 min during peak hours</t>
  </si>
  <si>
    <t>via Skyway - South Super Highway</t>
  </si>
  <si>
    <t>Baclaran (Redemptorist Church), Parañaque City</t>
  </si>
  <si>
    <t>via Taft Avenue - Quirino Ave - Quezon Blvd</t>
  </si>
  <si>
    <t>Alabang Town Center, Muntinlupa City</t>
  </si>
  <si>
    <t>via Alabang-Zapote Road</t>
  </si>
  <si>
    <t>Pasig (Robinsons Metro East), Pasig City</t>
  </si>
  <si>
    <t>via Marcos Highway - Aurora Blvd</t>
  </si>
  <si>
    <t>Gateway Mall (Cubao), Quezon City</t>
  </si>
  <si>
    <t>TNVS (Grab Sedan)</t>
  </si>
  <si>
    <t>via EDSA (approx. 6 km)</t>
  </si>
  <si>
    <t>Every 1-10 min</t>
  </si>
  <si>
    <t>via Skyway - EDSA (approx. 12 km)</t>
  </si>
  <si>
    <t>BGC (Bonifacio High Street), Taguig City</t>
  </si>
  <si>
    <t>Airport Taxi (Yellow)</t>
  </si>
  <si>
    <t>via Sales Road - C-5</t>
  </si>
  <si>
    <t>On-demand at airport queue</t>
  </si>
  <si>
    <t>Escolta (Lawton), Manila</t>
  </si>
  <si>
    <t>Guadalupe, Makati City</t>
  </si>
  <si>
    <t>Pasig River Ferry</t>
  </si>
  <si>
    <t>via Pasig River (Escolta to Guadalupe Station)</t>
  </si>
  <si>
    <t>6:00 AM</t>
  </si>
  <si>
    <t>5:00 PM</t>
  </si>
  <si>
    <t>Every 30-45 min</t>
  </si>
  <si>
    <t>North Avenue MRT-3 Station, Quezon City</t>
  </si>
  <si>
    <t>Taft Avenue MRT-3 Station, Pasay City</t>
  </si>
  <si>
    <t>MRT-3 train</t>
  </si>
  <si>
    <t>Southbound MRT-3: North Ave → Quezon Ave → GMA Kamuning → Araneta-Cubao → Santolan-Annapolis → Ortigas → Shaw → Boni → Guadalupe → Buendia → Ayala → Magallanes → Taft Ave</t>
  </si>
  <si>
    <t>Every 8–12 min</t>
  </si>
  <si>
    <t>Araneta-Cubao MRT-3 Station, Quezon City</t>
  </si>
  <si>
    <t>Southbound MRT-3: North Ave → Quezon Ave → GMA Kamuning → Araneta-Cubao</t>
  </si>
  <si>
    <t>Ayala MRT-3 Station, Makati City</t>
  </si>
  <si>
    <t>Southbound MRT-3: Araneta-Cubao → Santolan-Annapolis → Ortigas → Shaw → Boni → Guadalupe → Buendia → Ayala</t>
  </si>
  <si>
    <t>Every 8–20 min</t>
  </si>
  <si>
    <t>Quezon Avenue MRT-3 Station, Quezon City</t>
  </si>
  <si>
    <t>Southbound MRT-3: Quezon Ave → GMA Kamuning → Araneta-Cubao → Santolan-Annapolis → Ortigas → Shaw → Boni → Guadalupe → Buendia → Ayala</t>
  </si>
  <si>
    <t>Every 5–15 min</t>
  </si>
  <si>
    <t>Ortigas MRT-3 Station, Mandaluyong City</t>
  </si>
  <si>
    <t>Boni MRT-3 Station, Mandaluyong City</t>
  </si>
  <si>
    <t>Southbound MRT-3: Ortigas → Shaw Blvd. → Boni</t>
  </si>
  <si>
    <t>Every 10–20 min</t>
  </si>
  <si>
    <t>Guadalupe MRT-3 Station, Makati City</t>
  </si>
  <si>
    <t>Southbound MRT-3: Guadalupe → Buendia → Ayala → Magallanes → Taft Ave</t>
  </si>
  <si>
    <t>Every 15–30 min</t>
  </si>
  <si>
    <t>Magallanes MRT-3 Station, Makati City</t>
  </si>
  <si>
    <t>Southbound MRT-3: Ayala → Magallanes</t>
  </si>
  <si>
    <t>Shaw Boulevard MRT-3 Station, Mandaluyong City</t>
  </si>
  <si>
    <t>Northbound MRT-3: Shaw → Ortigas → Santolan-Annapolis → Araneta-Cubao → GMA Kamuning → Quezon Ave → North Ave</t>
  </si>
  <si>
    <t>Every 8–15 min</t>
  </si>
  <si>
    <t>Dr. Santos LRT-1 Station, Parañaque City</t>
  </si>
  <si>
    <t>Fernando Poe Jr. LRT-1 Station, Quezon City</t>
  </si>
  <si>
    <t>LRT-1 train - Stored Value Card</t>
  </si>
  <si>
    <t>Northbound LRT-1: Dr. Santos → Ninoy Aquino Ave → PITX → MIA Road → Redemptorist-Aseana → Baclaran → EDSA → Libertad → Gil Puyat → Vito Cruz → Quirino → Pedro Gil → UN Ave → Central → Carriedo → Doroteo Jose → Bambang → Tayuman → Blumentritt → Abad Santos → R. Papa → 5th Ave → Monumento → Balintawak → Fernando Poe Jr.</t>
  </si>
  <si>
    <t>Every 15 min</t>
  </si>
  <si>
    <t>PITX LRT-1 Station, Parañaque City</t>
  </si>
  <si>
    <t>Central Terminal LRT-1 Station, Manila City</t>
  </si>
  <si>
    <t>Northbound LRT-1: PITX → MIA Road → Redemptorist-Aseana → Baclaran → EDSA → Libertad → Gil Puyat → Vito Cruz → Quirino → Pedro Gil → UN Ave → Central</t>
  </si>
  <si>
    <t>Baclaran LRT-1 Station, Parañaque City</t>
  </si>
  <si>
    <t>Doroteo Jose LRT-1 Station, Manila City</t>
  </si>
  <si>
    <t>Northbound LRT-1: Baclaran → EDSA → Libertad → Gil Puyat → Vito Cruz → Quirino → Pedro Gil → UN Ave → Central → Carriedo → Doroteo Jose</t>
  </si>
  <si>
    <t>EDSA LRT-1 Station, Pasay City</t>
  </si>
  <si>
    <t>Gil Puyat LRT-1 Station, Pasay City</t>
  </si>
  <si>
    <t>Northbound LRT-1: EDSA → Libertad → Gil Puyat</t>
  </si>
  <si>
    <t>UN Avenue LRT-1 Station, Manila City</t>
  </si>
  <si>
    <t>Monumento LRT-1 Station, Caloocan City</t>
  </si>
  <si>
    <t>Northbound LRT-1: UN Ave → Central → Carriedo → Doroteo Jose → Bambang → Tayuman → Blumentritt → Abad Santos → R. Papa → 5th Ave → Monumento</t>
  </si>
  <si>
    <t>LRT-1 train - Single Journey Ticket</t>
  </si>
  <si>
    <t>Southbound LRT-1: Fernando Poe Jr. → Balintawak → Monumento → 5th Ave → R. Papa → Abad Santos → Blumentritt → Tayuman → Bambang → Doroteo Jose → Carriedo → Central → UN Ave → Pedro Gil → Quirino → Vito Cruz → Gil Puyat → Libertad → EDSA → Baclaran</t>
  </si>
  <si>
    <t>Monumento EDSA Carousel Station, Caloocan City</t>
  </si>
  <si>
    <t>PITX EDSA Carousel Station, Parañaque City</t>
  </si>
  <si>
    <t>EDSA Carousel air-conditioned bus</t>
  </si>
  <si>
    <t>Southbound EDSA Busway: Monumento → Balintawak → North Ave → Quezon Ave → Main Ave/Cubao → Ortigas → Guadalupe → Ayala → Taft → Roxas Blvd → PITX</t>
  </si>
  <si>
    <t>Northbound EDSA Busway: PITX → Roxas Blvd → Taft → Ayala → Guadalupe → Ortigas → Main Ave/Cubao → Quezon Ave → North Ave → Balintawak → Monumento</t>
  </si>
  <si>
    <t>Quezon Avenue EDSA Carousel Station, Quezon City</t>
  </si>
  <si>
    <t>Ayala EDSA Carousel Station, Makati City</t>
  </si>
  <si>
    <t>Southbound EDSA Busway via EDSA: Quezon Ave → Main Ave/Cubao → Ortigas → Guadalupe → Ayala</t>
  </si>
  <si>
    <t>Every 10 min</t>
  </si>
  <si>
    <t>Main Avenue / Cubao EDSA Carousel Station, Quezon City</t>
  </si>
  <si>
    <t>Taft Avenue EDSA Carousel Station, Pasay City</t>
  </si>
  <si>
    <t>Southbound EDSA Busway via EDSA: Main Ave/Cubao → Santolan → Ortigas → Guadalupe → Ayala → Magallanes → Taft</t>
  </si>
  <si>
    <t>Ortigas EDSA Carousel Station, Mandaluyong City</t>
  </si>
  <si>
    <t>Southbound EDSA Busway via EDSA/Roxas Blvd: Ortigas → Guadalupe → Ayala → Taft → Roxas Blvd → PITX</t>
  </si>
  <si>
    <t>Southbound EDSA Busway: Ayala → Buendia/Roxas Blvd area → PITX</t>
  </si>
  <si>
    <t>McKinley Exchange / EDSA Ayala, Makati City</t>
  </si>
  <si>
    <t>Market! Market!, Bonifacio Global City, Taguig City</t>
  </si>
  <si>
    <t>BGC Bus East/Market! Market! route from EDSA Ayala terminal to Market! Market!</t>
  </si>
  <si>
    <t>Uptown Mall / Uptown Parade, Bonifacio Global City, Taguig City</t>
  </si>
  <si>
    <t>BGC Bus North route from EDSA Ayala → HSBC/Turf BGC → Uptown Mall/Uptown Parade</t>
  </si>
  <si>
    <t>BGC Bus Central/West route back to EDSA Ayala terminal</t>
  </si>
  <si>
    <t>SM Fairview / Regalado Highway, Quezon City</t>
  </si>
  <si>
    <t>SM City North EDSA / North Avenue, Quezon City</t>
  </si>
  <si>
    <t>City bus / ordinary bus</t>
  </si>
  <si>
    <t>Via Quirino Highway and Mindanao Avenue toward North Avenue/SM North EDSA</t>
  </si>
  <si>
    <t>Via Mindanao Avenue and Quirino Highway toward SM Fairview</t>
  </si>
  <si>
    <t>Congressional Avenue / Mindanao Avenue, Quezon City</t>
  </si>
  <si>
    <t>Northbound via Mindanao Avenue and Quirino Highway</t>
  </si>
  <si>
    <t>Robinsons Novaliches / Quirino Highway, Quezon City</t>
  </si>
  <si>
    <t>North Avenue / SM City North EDSA, Quezon City</t>
  </si>
  <si>
    <t>Southbound via Quirino Highway → Mindanao Avenue → North Avenue</t>
  </si>
  <si>
    <t>Pedro Gil Street / Taft Avenue, Manila City</t>
  </si>
  <si>
    <t>Quirino Avenue LRT-1 Area, Manila City</t>
  </si>
  <si>
    <t>Traditional jeepney</t>
  </si>
  <si>
    <t>Traditional jeepney along Taft Avenue corridor: Pedro Gil → Quirino</t>
  </si>
  <si>
    <t>Vito Cruz / De La Salle University Area, Manila City</t>
  </si>
  <si>
    <t>Gil Puyat / Buendia LRT-1 Area, Pasay City</t>
  </si>
  <si>
    <t>Traditional jeepney via Taft Avenue: Vito Cruz → Gil Puyat/Buendia</t>
  </si>
  <si>
    <t>Guadalupe Nuevo / MRT Guadalupe Area, Makati City</t>
  </si>
  <si>
    <t>Kalayaan Avenue / BGC Gate Area, Taguig City</t>
  </si>
  <si>
    <t>Guadalupe–Gate 3/BGC jeepney via J.P. Rizal/Kalayaan corridor</t>
  </si>
  <si>
    <t>Boni Avenue / Pinatubo Street Area, Mandaluyong City</t>
  </si>
  <si>
    <t>Pioneer Street / Robinsons Cybergate Area, Mandaluyong City</t>
  </si>
  <si>
    <t>Boni–Pioneer short jeepney segment via Boni Avenue/Pioneer Street</t>
  </si>
  <si>
    <t>Quiapo Church / Plaza Miranda, Manila City</t>
  </si>
  <si>
    <t>Divisoria / Tutuban Area, Manila City</t>
  </si>
  <si>
    <t>Traditional jeepney via Quezon Blvd/Recto Avenue toward Divisoria</t>
  </si>
  <si>
    <t>Taft Avenue / EDSA Rotonda, Pasay City</t>
  </si>
  <si>
    <t>Traditional jeepney / multicab</t>
  </si>
  <si>
    <t>Jeepney/multicab route via EDSA Extension and MOA complex</t>
  </si>
  <si>
    <t>C5 Staffhouse / Market! Market! Area, Taguig City</t>
  </si>
  <si>
    <t>Upper McKinley / Venice Grand Canal Mall, Taguig City</t>
  </si>
  <si>
    <t>Modern jeepney / e-jeep</t>
  </si>
  <si>
    <t>Modern jeepney/e-jeep along C5-McKinley route segment</t>
  </si>
  <si>
    <t>SM North EDSA Transport Terminal, Quezon City</t>
  </si>
  <si>
    <t>Trinoma / North Avenue Area, Quezon City</t>
  </si>
  <si>
    <t>Modern jeepney/e-jeep short shuttle segment around North Avenue/EDSA terminals</t>
  </si>
  <si>
    <t>Newport World Resorts / Newport City, Pasay City</t>
  </si>
  <si>
    <t>Airport shuttle / city bus</t>
  </si>
  <si>
    <t>Short airport-area shuttle/bus segment via Newport Boulevard</t>
  </si>
  <si>
    <t>Quezon Avenue / EDSA Area, Quezon City</t>
  </si>
  <si>
    <t>Welcome Rotonda / España Boulevard, Quezon City</t>
  </si>
  <si>
    <t>NCR ordinary city bus</t>
  </si>
  <si>
    <t>Ordinary city bus via Quezon Avenue toward España/Welcome Rotonda</t>
  </si>
  <si>
    <t>Ayala Avenue / Makati CBD, Makati City</t>
  </si>
  <si>
    <t>Buendia / Gil Puyat Avenue, Makati City</t>
  </si>
  <si>
    <t>NCR air-conditioned city bus</t>
  </si>
  <si>
    <t>Air-conditioned city bus through Makati CBD via Ayala Avenue/Gil Puyat corridor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</si>
</sst>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&quot;PhP&quot; #,##0.00"/>
    <numFmt numFmtId="166" formatCode="0.0 &quot;km&quot;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2.0"/>
      <color rgb="FF00000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6D8E0"/>
        <bgColor rgb="FFC6D8E0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618EA5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618EA5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9A9A9A"/>
      </right>
      <top style="thin">
        <color rgb="FF618EA5"/>
      </top>
      <bottom style="thin">
        <color rgb="FF618EA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 vertical="top"/>
    </xf>
    <xf borderId="0" fillId="0" fontId="4" numFmtId="164" xfId="0" applyAlignment="1" applyFont="1" applyNumberFormat="1">
      <alignment horizontal="right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4" numFmtId="164" xfId="0" applyAlignment="1" applyFont="1" applyNumberFormat="1">
      <alignment readingOrder="0" vertical="top"/>
    </xf>
    <xf borderId="1" fillId="2" fontId="4" numFmtId="0" xfId="0" applyAlignment="1" applyBorder="1" applyFill="1" applyFont="1">
      <alignment shrinkToFit="0" vertical="top" wrapText="1"/>
    </xf>
    <xf borderId="1" fillId="2" fontId="4" numFmtId="165" xfId="0" applyAlignment="1" applyBorder="1" applyFont="1" applyNumberFormat="1">
      <alignment horizontal="right" shrinkToFit="0" vertical="top" wrapText="1"/>
    </xf>
    <xf borderId="1" fillId="2" fontId="4" numFmtId="166" xfId="0" applyAlignment="1" applyBorder="1" applyFont="1" applyNumberFormat="1">
      <alignment horizontal="right" vertical="top"/>
    </xf>
    <xf borderId="1" fillId="2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3" fontId="4" numFmtId="165" xfId="0" applyAlignment="1" applyBorder="1" applyFont="1" applyNumberFormat="1">
      <alignment horizontal="right" shrinkToFit="0" vertical="top" wrapText="1"/>
    </xf>
    <xf borderId="1" fillId="3" fontId="4" numFmtId="166" xfId="0" applyAlignment="1" applyBorder="1" applyFont="1" applyNumberFormat="1">
      <alignment horizontal="right" vertical="top"/>
    </xf>
    <xf borderId="1" fillId="3" fontId="4" numFmtId="0" xfId="0" applyAlignment="1" applyBorder="1" applyFont="1">
      <alignment horizontal="center" shrinkToFit="0" vertical="top" wrapText="1"/>
    </xf>
    <xf borderId="1" fillId="3" fontId="4" numFmtId="164" xfId="0" applyAlignment="1" applyBorder="1" applyFont="1" applyNumberFormat="1">
      <alignment horizontal="center" readingOrder="0" shrinkToFit="0" vertical="top" wrapText="1"/>
    </xf>
    <xf borderId="1" fillId="2" fontId="4" numFmtId="164" xfId="0" applyAlignment="1" applyBorder="1" applyFont="1" applyNumberFormat="1">
      <alignment horizontal="center" readingOrder="0" shrinkToFit="0" vertical="top" wrapText="1"/>
    </xf>
    <xf borderId="1" fillId="2" fontId="4" numFmtId="0" xfId="0" applyAlignment="1" applyBorder="1" applyFont="1">
      <alignment readingOrder="0" shrinkToFit="0" vertical="top" wrapText="1"/>
    </xf>
    <xf borderId="2" fillId="4" fontId="5" numFmtId="0" xfId="0" applyAlignment="1" applyBorder="1" applyFill="1" applyFont="1">
      <alignment readingOrder="0" shrinkToFit="0" vertical="top" wrapText="1"/>
    </xf>
    <xf borderId="3" fillId="4" fontId="5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4" fillId="2" fontId="5" numFmtId="0" xfId="0" applyAlignment="1" applyBorder="1" applyFont="1">
      <alignment readingOrder="0" shrinkToFit="0" vertical="top" wrapText="1"/>
    </xf>
    <xf borderId="5" fillId="2" fontId="5" numFmtId="0" xfId="0" applyAlignment="1" applyBorder="1" applyFont="1">
      <alignment readingOrder="0" shrinkToFit="0" vertical="top" wrapText="1"/>
    </xf>
    <xf borderId="3" fillId="4" fontId="5" numFmtId="0" xfId="0" applyAlignment="1" applyBorder="1" applyFont="1">
      <alignment readingOrder="0" vertical="top"/>
    </xf>
    <xf borderId="5" fillId="2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26.88"/>
    <col customWidth="1" min="3" max="3" width="22.63"/>
    <col customWidth="1" min="4" max="4" width="23.5"/>
    <col customWidth="1" min="10" max="10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>
        <v>35.0</v>
      </c>
      <c r="F2" s="4">
        <v>28.0</v>
      </c>
      <c r="G2" s="5">
        <v>11.5</v>
      </c>
      <c r="H2" s="6">
        <v>0.16666666666666666</v>
      </c>
      <c r="I2" s="6">
        <v>0.9583333333333334</v>
      </c>
      <c r="J2" s="7" t="s">
        <v>14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>
        <v>35.0</v>
      </c>
      <c r="F3" s="4">
        <v>28.0</v>
      </c>
      <c r="G3" s="5">
        <v>20.0</v>
      </c>
      <c r="H3" s="6">
        <v>0.1875</v>
      </c>
      <c r="I3" s="6">
        <v>0.9166666666666666</v>
      </c>
      <c r="J3" s="7" t="s">
        <v>19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4" t="s">
        <v>20</v>
      </c>
      <c r="B4" s="4" t="s">
        <v>21</v>
      </c>
      <c r="C4" s="4" t="s">
        <v>22</v>
      </c>
      <c r="D4" s="4" t="s">
        <v>23</v>
      </c>
      <c r="E4" s="4">
        <v>24.0</v>
      </c>
      <c r="F4" s="4">
        <v>19.2</v>
      </c>
      <c r="G4" s="5">
        <v>10.0</v>
      </c>
      <c r="H4" s="6">
        <v>0.1875</v>
      </c>
      <c r="I4" s="6">
        <v>0.9375</v>
      </c>
      <c r="J4" s="7" t="s">
        <v>24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 t="s">
        <v>21</v>
      </c>
      <c r="B5" s="4" t="s">
        <v>25</v>
      </c>
      <c r="C5" s="4" t="s">
        <v>26</v>
      </c>
      <c r="D5" s="4" t="s">
        <v>27</v>
      </c>
      <c r="E5" s="4">
        <v>16.0</v>
      </c>
      <c r="F5" s="4">
        <v>12.8</v>
      </c>
      <c r="G5" s="5">
        <v>4.0</v>
      </c>
      <c r="H5" s="6">
        <v>0.25</v>
      </c>
      <c r="I5" s="6">
        <v>0.9166666666666666</v>
      </c>
      <c r="J5" s="7" t="s">
        <v>28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4" t="s">
        <v>29</v>
      </c>
      <c r="B6" s="4" t="s">
        <v>21</v>
      </c>
      <c r="C6" s="4" t="s">
        <v>30</v>
      </c>
      <c r="D6" s="4" t="s">
        <v>31</v>
      </c>
      <c r="E6" s="4">
        <v>150.0</v>
      </c>
      <c r="F6" s="4">
        <v>120.0</v>
      </c>
      <c r="G6" s="5">
        <v>21.0</v>
      </c>
      <c r="H6" s="6">
        <v>0.22916666666666666</v>
      </c>
      <c r="I6" s="6">
        <v>0.875</v>
      </c>
      <c r="J6" s="7" t="s">
        <v>32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" t="s">
        <v>33</v>
      </c>
      <c r="B7" s="4" t="s">
        <v>34</v>
      </c>
      <c r="C7" s="4" t="s">
        <v>35</v>
      </c>
      <c r="D7" s="4" t="s">
        <v>36</v>
      </c>
      <c r="E7" s="4">
        <v>13.0</v>
      </c>
      <c r="F7" s="4">
        <v>10.4</v>
      </c>
      <c r="G7" s="5">
        <v>3.0</v>
      </c>
      <c r="H7" s="6">
        <v>0.20833333333333334</v>
      </c>
      <c r="I7" s="6">
        <v>0.9166666666666666</v>
      </c>
      <c r="J7" s="7" t="s">
        <v>24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" t="s">
        <v>37</v>
      </c>
      <c r="B8" s="4" t="s">
        <v>38</v>
      </c>
      <c r="C8" s="4" t="s">
        <v>39</v>
      </c>
      <c r="D8" s="4" t="s">
        <v>40</v>
      </c>
      <c r="E8" s="4">
        <v>15.0</v>
      </c>
      <c r="F8" s="4">
        <v>12.0</v>
      </c>
      <c r="G8" s="5">
        <v>2.5</v>
      </c>
      <c r="H8" s="9">
        <v>0.0</v>
      </c>
      <c r="I8" s="9">
        <v>0.9993055555555556</v>
      </c>
      <c r="J8" s="7" t="s">
        <v>41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4" t="s">
        <v>42</v>
      </c>
      <c r="B9" s="4" t="s">
        <v>43</v>
      </c>
      <c r="C9" s="4" t="s">
        <v>44</v>
      </c>
      <c r="D9" s="4" t="s">
        <v>45</v>
      </c>
      <c r="E9" s="4">
        <v>30.0</v>
      </c>
      <c r="F9" s="4">
        <v>24.0</v>
      </c>
      <c r="G9" s="5">
        <v>6.5</v>
      </c>
      <c r="H9" s="6">
        <v>0.20833333333333334</v>
      </c>
      <c r="I9" s="6">
        <v>0.9166666666666666</v>
      </c>
      <c r="J9" s="7" t="s">
        <v>14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 t="s">
        <v>46</v>
      </c>
      <c r="B10" s="4" t="s">
        <v>47</v>
      </c>
      <c r="C10" s="4" t="s">
        <v>12</v>
      </c>
      <c r="D10" s="4" t="s">
        <v>48</v>
      </c>
      <c r="E10" s="4">
        <v>40.0</v>
      </c>
      <c r="F10" s="4">
        <v>32.0</v>
      </c>
      <c r="G10" s="5">
        <v>10.5</v>
      </c>
      <c r="H10" s="6">
        <v>0.16666666666666666</v>
      </c>
      <c r="I10" s="6">
        <v>0.9583333333333334</v>
      </c>
      <c r="J10" s="7" t="s">
        <v>49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 t="s">
        <v>50</v>
      </c>
      <c r="B11" s="4" t="s">
        <v>51</v>
      </c>
      <c r="C11" s="4" t="s">
        <v>35</v>
      </c>
      <c r="D11" s="4" t="s">
        <v>52</v>
      </c>
      <c r="E11" s="4">
        <v>13.0</v>
      </c>
      <c r="F11" s="4">
        <v>10.4</v>
      </c>
      <c r="G11" s="5">
        <v>4.5</v>
      </c>
      <c r="H11" s="9">
        <v>0.0</v>
      </c>
      <c r="I11" s="9">
        <v>0.9993055555555556</v>
      </c>
      <c r="J11" s="7" t="s">
        <v>24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10</v>
      </c>
      <c r="B12" s="10" t="s">
        <v>53</v>
      </c>
      <c r="C12" s="10" t="s">
        <v>54</v>
      </c>
      <c r="D12" s="10" t="s">
        <v>55</v>
      </c>
      <c r="E12" s="11">
        <v>35.0</v>
      </c>
      <c r="F12" s="11">
        <v>28.0</v>
      </c>
      <c r="G12" s="12">
        <v>9.5</v>
      </c>
      <c r="H12" s="13" t="s">
        <v>56</v>
      </c>
      <c r="I12" s="13" t="s">
        <v>57</v>
      </c>
      <c r="J12" s="10" t="s">
        <v>58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4" t="s">
        <v>10</v>
      </c>
      <c r="B13" s="14" t="s">
        <v>59</v>
      </c>
      <c r="C13" s="14" t="s">
        <v>35</v>
      </c>
      <c r="D13" s="14" t="s">
        <v>60</v>
      </c>
      <c r="E13" s="15">
        <v>32.0</v>
      </c>
      <c r="F13" s="15">
        <v>25.6</v>
      </c>
      <c r="G13" s="16">
        <v>13.0</v>
      </c>
      <c r="H13" s="17" t="s">
        <v>61</v>
      </c>
      <c r="I13" s="18">
        <v>0.0</v>
      </c>
      <c r="J13" s="14" t="s">
        <v>62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53</v>
      </c>
      <c r="B14" s="10" t="s">
        <v>63</v>
      </c>
      <c r="C14" s="10" t="s">
        <v>64</v>
      </c>
      <c r="D14" s="10" t="s">
        <v>65</v>
      </c>
      <c r="E14" s="11">
        <v>36.0</v>
      </c>
      <c r="F14" s="11">
        <v>28.75</v>
      </c>
      <c r="G14" s="12">
        <v>11.0</v>
      </c>
      <c r="H14" s="19">
        <v>0.0</v>
      </c>
      <c r="I14" s="19">
        <v>0.9993055555555556</v>
      </c>
      <c r="J14" s="10" t="s">
        <v>66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4" t="s">
        <v>15</v>
      </c>
      <c r="B15" s="14" t="s">
        <v>46</v>
      </c>
      <c r="C15" s="14" t="s">
        <v>64</v>
      </c>
      <c r="D15" s="14" t="s">
        <v>67</v>
      </c>
      <c r="E15" s="15">
        <v>75.5</v>
      </c>
      <c r="F15" s="15">
        <v>60.5</v>
      </c>
      <c r="G15" s="16">
        <v>23.8</v>
      </c>
      <c r="H15" s="18">
        <v>0.0</v>
      </c>
      <c r="I15" s="18">
        <v>0.9993055555555556</v>
      </c>
      <c r="J15" s="14" t="s">
        <v>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68</v>
      </c>
      <c r="B16" s="10" t="s">
        <v>69</v>
      </c>
      <c r="C16" s="10" t="s">
        <v>70</v>
      </c>
      <c r="D16" s="10" t="s">
        <v>71</v>
      </c>
      <c r="E16" s="11">
        <v>28.0</v>
      </c>
      <c r="F16" s="11">
        <v>22.4</v>
      </c>
      <c r="G16" s="12">
        <v>16.9</v>
      </c>
      <c r="H16" s="13" t="s">
        <v>56</v>
      </c>
      <c r="I16" s="19">
        <v>0.9375</v>
      </c>
      <c r="J16" s="10" t="s">
        <v>72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4" t="s">
        <v>73</v>
      </c>
      <c r="B17" s="14" t="s">
        <v>74</v>
      </c>
      <c r="C17" s="14" t="s">
        <v>70</v>
      </c>
      <c r="D17" s="14" t="s">
        <v>75</v>
      </c>
      <c r="E17" s="15">
        <v>16.0</v>
      </c>
      <c r="F17" s="15">
        <v>13.0</v>
      </c>
      <c r="G17" s="16">
        <v>9.0</v>
      </c>
      <c r="H17" s="17" t="s">
        <v>56</v>
      </c>
      <c r="I17" s="19">
        <v>0.9375</v>
      </c>
      <c r="J17" s="14" t="s">
        <v>72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76</v>
      </c>
      <c r="B18" s="10" t="s">
        <v>77</v>
      </c>
      <c r="C18" s="10" t="s">
        <v>70</v>
      </c>
      <c r="D18" s="10" t="s">
        <v>78</v>
      </c>
      <c r="E18" s="11">
        <v>13.0</v>
      </c>
      <c r="F18" s="11">
        <v>11.0</v>
      </c>
      <c r="G18" s="12">
        <v>1.2</v>
      </c>
      <c r="H18" s="13" t="s">
        <v>56</v>
      </c>
      <c r="I18" s="19">
        <v>0.9375</v>
      </c>
      <c r="J18" s="10" t="s">
        <v>72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4" t="s">
        <v>79</v>
      </c>
      <c r="B19" s="14" t="s">
        <v>80</v>
      </c>
      <c r="C19" s="14" t="s">
        <v>81</v>
      </c>
      <c r="D19" s="14" t="s">
        <v>82</v>
      </c>
      <c r="E19" s="15">
        <v>30.0</v>
      </c>
      <c r="F19" s="15">
        <v>24.0</v>
      </c>
      <c r="G19" s="16">
        <v>20.7</v>
      </c>
      <c r="H19" s="17" t="s">
        <v>56</v>
      </c>
      <c r="I19" s="17" t="s">
        <v>83</v>
      </c>
      <c r="J19" s="14" t="s">
        <v>72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15</v>
      </c>
      <c r="B20" s="10" t="s">
        <v>84</v>
      </c>
      <c r="C20" s="10" t="s">
        <v>81</v>
      </c>
      <c r="D20" s="10" t="s">
        <v>85</v>
      </c>
      <c r="E20" s="11">
        <v>20.0</v>
      </c>
      <c r="F20" s="11">
        <v>16.0</v>
      </c>
      <c r="G20" s="12">
        <v>5.5</v>
      </c>
      <c r="H20" s="13" t="s">
        <v>56</v>
      </c>
      <c r="I20" s="13" t="s">
        <v>83</v>
      </c>
      <c r="J20" s="10" t="s">
        <v>72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4" t="s">
        <v>86</v>
      </c>
      <c r="B21" s="14" t="s">
        <v>87</v>
      </c>
      <c r="C21" s="14" t="s">
        <v>88</v>
      </c>
      <c r="D21" s="14" t="s">
        <v>89</v>
      </c>
      <c r="E21" s="15">
        <v>33.0</v>
      </c>
      <c r="F21" s="15">
        <v>26.5</v>
      </c>
      <c r="G21" s="16">
        <v>17.6</v>
      </c>
      <c r="H21" s="17" t="s">
        <v>90</v>
      </c>
      <c r="I21" s="18">
        <v>0.875</v>
      </c>
      <c r="J21" s="14" t="s">
        <v>91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73</v>
      </c>
      <c r="B22" s="10" t="s">
        <v>92</v>
      </c>
      <c r="C22" s="10" t="s">
        <v>88</v>
      </c>
      <c r="D22" s="10" t="s">
        <v>93</v>
      </c>
      <c r="E22" s="11">
        <v>15.0</v>
      </c>
      <c r="F22" s="11">
        <v>13.0</v>
      </c>
      <c r="G22" s="12">
        <v>2.5</v>
      </c>
      <c r="H22" s="13" t="s">
        <v>90</v>
      </c>
      <c r="I22" s="19">
        <v>0.8958333333333334</v>
      </c>
      <c r="J22" s="10" t="s">
        <v>91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4" t="s">
        <v>94</v>
      </c>
      <c r="B23" s="14" t="s">
        <v>95</v>
      </c>
      <c r="C23" s="14" t="s">
        <v>96</v>
      </c>
      <c r="D23" s="14" t="s">
        <v>97</v>
      </c>
      <c r="E23" s="15">
        <v>50.0</v>
      </c>
      <c r="F23" s="15">
        <v>40.0</v>
      </c>
      <c r="G23" s="16">
        <v>2.5</v>
      </c>
      <c r="H23" s="17" t="s">
        <v>90</v>
      </c>
      <c r="I23" s="17" t="s">
        <v>57</v>
      </c>
      <c r="J23" s="14" t="s">
        <v>98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99</v>
      </c>
      <c r="B24" s="10" t="s">
        <v>100</v>
      </c>
      <c r="C24" s="10" t="s">
        <v>96</v>
      </c>
      <c r="D24" s="10" t="s">
        <v>101</v>
      </c>
      <c r="E24" s="11">
        <v>40.0</v>
      </c>
      <c r="F24" s="11">
        <v>32.0</v>
      </c>
      <c r="G24" s="12">
        <v>1.5</v>
      </c>
      <c r="H24" s="13" t="s">
        <v>90</v>
      </c>
      <c r="I24" s="13" t="s">
        <v>102</v>
      </c>
      <c r="J24" s="10" t="s">
        <v>98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4" t="s">
        <v>103</v>
      </c>
      <c r="B25" s="14" t="s">
        <v>104</v>
      </c>
      <c r="C25" s="14" t="s">
        <v>44</v>
      </c>
      <c r="D25" s="14" t="s">
        <v>105</v>
      </c>
      <c r="E25" s="15">
        <v>75.0</v>
      </c>
      <c r="F25" s="15">
        <v>60.0</v>
      </c>
      <c r="G25" s="16">
        <v>27.0</v>
      </c>
      <c r="H25" s="17" t="s">
        <v>61</v>
      </c>
      <c r="I25" s="17" t="s">
        <v>57</v>
      </c>
      <c r="J25" s="14" t="s">
        <v>106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107</v>
      </c>
      <c r="B26" s="10" t="s">
        <v>108</v>
      </c>
      <c r="C26" s="10" t="s">
        <v>44</v>
      </c>
      <c r="D26" s="10" t="s">
        <v>109</v>
      </c>
      <c r="E26" s="11">
        <v>50.0</v>
      </c>
      <c r="F26" s="11">
        <v>40.0</v>
      </c>
      <c r="G26" s="12">
        <v>14.5</v>
      </c>
      <c r="H26" s="13" t="s">
        <v>61</v>
      </c>
      <c r="I26" s="13" t="s">
        <v>110</v>
      </c>
      <c r="J26" s="10" t="s">
        <v>106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4" t="s">
        <v>111</v>
      </c>
      <c r="B27" s="14" t="s">
        <v>112</v>
      </c>
      <c r="C27" s="14" t="s">
        <v>113</v>
      </c>
      <c r="D27" s="14" t="s">
        <v>114</v>
      </c>
      <c r="E27" s="15">
        <v>80.0</v>
      </c>
      <c r="F27" s="15">
        <v>64.0</v>
      </c>
      <c r="G27" s="16">
        <v>9.5</v>
      </c>
      <c r="H27" s="17" t="s">
        <v>90</v>
      </c>
      <c r="I27" s="17" t="s">
        <v>115</v>
      </c>
      <c r="J27" s="14" t="s">
        <v>116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25</v>
      </c>
      <c r="B28" s="10" t="s">
        <v>117</v>
      </c>
      <c r="C28" s="10" t="s">
        <v>113</v>
      </c>
      <c r="D28" s="10" t="s">
        <v>118</v>
      </c>
      <c r="E28" s="11">
        <v>250.0</v>
      </c>
      <c r="F28" s="11">
        <v>200.0</v>
      </c>
      <c r="G28" s="12">
        <v>9.0</v>
      </c>
      <c r="H28" s="13" t="s">
        <v>56</v>
      </c>
      <c r="I28" s="13" t="s">
        <v>119</v>
      </c>
      <c r="J28" s="10" t="s">
        <v>120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4" t="s">
        <v>53</v>
      </c>
      <c r="B29" s="14" t="s">
        <v>121</v>
      </c>
      <c r="C29" s="14" t="s">
        <v>39</v>
      </c>
      <c r="D29" s="14" t="s">
        <v>122</v>
      </c>
      <c r="E29" s="15">
        <v>17.0</v>
      </c>
      <c r="F29" s="15">
        <v>14.0</v>
      </c>
      <c r="G29" s="16">
        <v>3.5</v>
      </c>
      <c r="H29" s="17" t="s">
        <v>90</v>
      </c>
      <c r="I29" s="17" t="s">
        <v>115</v>
      </c>
      <c r="J29" s="14" t="s">
        <v>58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59</v>
      </c>
      <c r="B30" s="10" t="s">
        <v>123</v>
      </c>
      <c r="C30" s="10" t="s">
        <v>39</v>
      </c>
      <c r="D30" s="10" t="s">
        <v>124</v>
      </c>
      <c r="E30" s="11">
        <v>26.0</v>
      </c>
      <c r="F30" s="11">
        <v>21.0</v>
      </c>
      <c r="G30" s="12">
        <v>10.0</v>
      </c>
      <c r="H30" s="13" t="s">
        <v>90</v>
      </c>
      <c r="I30" s="13" t="s">
        <v>115</v>
      </c>
      <c r="J30" s="10" t="s">
        <v>58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4" t="s">
        <v>46</v>
      </c>
      <c r="B31" s="14" t="s">
        <v>47</v>
      </c>
      <c r="C31" s="14" t="s">
        <v>125</v>
      </c>
      <c r="D31" s="14" t="s">
        <v>126</v>
      </c>
      <c r="E31" s="15">
        <v>30.0</v>
      </c>
      <c r="F31" s="15">
        <v>24.0</v>
      </c>
      <c r="G31" s="16">
        <v>11.0</v>
      </c>
      <c r="H31" s="17" t="s">
        <v>61</v>
      </c>
      <c r="I31" s="17" t="s">
        <v>57</v>
      </c>
      <c r="J31" s="14" t="s">
        <v>127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103</v>
      </c>
      <c r="B32" s="10" t="s">
        <v>63</v>
      </c>
      <c r="C32" s="10" t="s">
        <v>125</v>
      </c>
      <c r="D32" s="10" t="s">
        <v>128</v>
      </c>
      <c r="E32" s="11">
        <v>60.0</v>
      </c>
      <c r="F32" s="11">
        <v>48.0</v>
      </c>
      <c r="G32" s="12">
        <v>17.0</v>
      </c>
      <c r="H32" s="13" t="s">
        <v>61</v>
      </c>
      <c r="I32" s="13" t="s">
        <v>115</v>
      </c>
      <c r="J32" s="10" t="s">
        <v>127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4" t="s">
        <v>129</v>
      </c>
      <c r="B33" s="14" t="s">
        <v>37</v>
      </c>
      <c r="C33" s="14" t="s">
        <v>35</v>
      </c>
      <c r="D33" s="14" t="s">
        <v>130</v>
      </c>
      <c r="E33" s="15">
        <v>24.0</v>
      </c>
      <c r="F33" s="15">
        <v>19.5</v>
      </c>
      <c r="G33" s="16">
        <v>9.0</v>
      </c>
      <c r="H33" s="17" t="s">
        <v>61</v>
      </c>
      <c r="I33" s="17" t="s">
        <v>102</v>
      </c>
      <c r="J33" s="14" t="s">
        <v>62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95</v>
      </c>
      <c r="B34" s="10" t="s">
        <v>131</v>
      </c>
      <c r="C34" s="10" t="s">
        <v>35</v>
      </c>
      <c r="D34" s="10" t="s">
        <v>132</v>
      </c>
      <c r="E34" s="11">
        <v>18.0</v>
      </c>
      <c r="F34" s="11">
        <v>14.5</v>
      </c>
      <c r="G34" s="12">
        <v>5.0</v>
      </c>
      <c r="H34" s="13" t="s">
        <v>56</v>
      </c>
      <c r="I34" s="13" t="s">
        <v>57</v>
      </c>
      <c r="J34" s="10" t="s">
        <v>62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4" t="s">
        <v>133</v>
      </c>
      <c r="B35" s="14" t="s">
        <v>59</v>
      </c>
      <c r="C35" s="14" t="s">
        <v>35</v>
      </c>
      <c r="D35" s="14" t="s">
        <v>134</v>
      </c>
      <c r="E35" s="15">
        <v>22.0</v>
      </c>
      <c r="F35" s="15">
        <v>17.6</v>
      </c>
      <c r="G35" s="16">
        <v>6.5</v>
      </c>
      <c r="H35" s="17" t="s">
        <v>56</v>
      </c>
      <c r="I35" s="17" t="s">
        <v>57</v>
      </c>
      <c r="J35" s="14" t="s">
        <v>62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135</v>
      </c>
      <c r="B36" s="10" t="s">
        <v>111</v>
      </c>
      <c r="C36" s="10" t="s">
        <v>136</v>
      </c>
      <c r="D36" s="10" t="s">
        <v>137</v>
      </c>
      <c r="E36" s="11">
        <v>195.0</v>
      </c>
      <c r="F36" s="11">
        <v>195.0</v>
      </c>
      <c r="G36" s="12">
        <v>6.0</v>
      </c>
      <c r="H36" s="19">
        <v>0.0</v>
      </c>
      <c r="I36" s="19">
        <v>0.9993055555555556</v>
      </c>
      <c r="J36" s="20" t="s">
        <v>138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4" t="s">
        <v>117</v>
      </c>
      <c r="B37" s="14" t="s">
        <v>111</v>
      </c>
      <c r="C37" s="14" t="s">
        <v>136</v>
      </c>
      <c r="D37" s="14" t="s">
        <v>139</v>
      </c>
      <c r="E37" s="15">
        <v>269.0</v>
      </c>
      <c r="F37" s="15">
        <v>269.0</v>
      </c>
      <c r="G37" s="16">
        <v>12.0</v>
      </c>
      <c r="H37" s="19">
        <v>0.0</v>
      </c>
      <c r="I37" s="19">
        <v>0.9993055555555556</v>
      </c>
      <c r="J37" s="20" t="s">
        <v>138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117</v>
      </c>
      <c r="B38" s="10" t="s">
        <v>140</v>
      </c>
      <c r="C38" s="10" t="s">
        <v>141</v>
      </c>
      <c r="D38" s="10" t="s">
        <v>142</v>
      </c>
      <c r="E38" s="11">
        <v>285.0</v>
      </c>
      <c r="F38" s="11">
        <v>285.0</v>
      </c>
      <c r="G38" s="12">
        <v>9.0</v>
      </c>
      <c r="H38" s="19">
        <v>0.0</v>
      </c>
      <c r="I38" s="19">
        <v>0.9993055555555556</v>
      </c>
      <c r="J38" s="10" t="s">
        <v>143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4" t="s">
        <v>144</v>
      </c>
      <c r="B39" s="14" t="s">
        <v>145</v>
      </c>
      <c r="C39" s="14" t="s">
        <v>146</v>
      </c>
      <c r="D39" s="14" t="s">
        <v>147</v>
      </c>
      <c r="E39" s="15">
        <v>50.0</v>
      </c>
      <c r="F39" s="15">
        <v>40.0</v>
      </c>
      <c r="G39" s="16">
        <v>13.5</v>
      </c>
      <c r="H39" s="17" t="s">
        <v>148</v>
      </c>
      <c r="I39" s="17" t="s">
        <v>149</v>
      </c>
      <c r="J39" s="14" t="s">
        <v>150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21" t="s">
        <v>151</v>
      </c>
      <c r="B40" s="22" t="s">
        <v>152</v>
      </c>
      <c r="C40" s="22" t="s">
        <v>153</v>
      </c>
      <c r="D40" s="22" t="s">
        <v>154</v>
      </c>
      <c r="E40" s="22">
        <v>28.0</v>
      </c>
      <c r="F40" s="23">
        <f t="shared" ref="F40:F77" si="1">E40*0.8</f>
        <v>22.4</v>
      </c>
      <c r="G40" s="4">
        <v>17.5</v>
      </c>
      <c r="H40" s="24">
        <v>0.20833333333333334</v>
      </c>
      <c r="I40" s="24">
        <v>0.9583333333333334</v>
      </c>
      <c r="J40" s="4" t="s">
        <v>155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25" t="s">
        <v>151</v>
      </c>
      <c r="B41" s="26" t="s">
        <v>156</v>
      </c>
      <c r="C41" s="26" t="s">
        <v>153</v>
      </c>
      <c r="D41" s="26" t="s">
        <v>157</v>
      </c>
      <c r="E41" s="26">
        <v>16.0</v>
      </c>
      <c r="F41" s="23">
        <f t="shared" si="1"/>
        <v>12.8</v>
      </c>
      <c r="G41" s="4">
        <v>3.2</v>
      </c>
      <c r="H41" s="24">
        <v>0.20833333333333334</v>
      </c>
      <c r="I41" s="24">
        <v>0.9583333333333334</v>
      </c>
      <c r="J41" s="4" t="s">
        <v>155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21" t="s">
        <v>156</v>
      </c>
      <c r="B42" s="22" t="s">
        <v>158</v>
      </c>
      <c r="C42" s="22" t="s">
        <v>153</v>
      </c>
      <c r="D42" s="22" t="s">
        <v>159</v>
      </c>
      <c r="E42" s="22">
        <v>20.0</v>
      </c>
      <c r="F42" s="23">
        <f t="shared" si="1"/>
        <v>16</v>
      </c>
      <c r="G42" s="4">
        <v>9.0</v>
      </c>
      <c r="H42" s="24">
        <v>0.1875</v>
      </c>
      <c r="I42" s="24">
        <v>0.9375</v>
      </c>
      <c r="J42" s="4" t="s">
        <v>160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25" t="s">
        <v>161</v>
      </c>
      <c r="B43" s="26" t="s">
        <v>158</v>
      </c>
      <c r="C43" s="26" t="s">
        <v>153</v>
      </c>
      <c r="D43" s="26" t="s">
        <v>162</v>
      </c>
      <c r="E43" s="26">
        <v>24.0</v>
      </c>
      <c r="F43" s="23">
        <f t="shared" si="1"/>
        <v>19.2</v>
      </c>
      <c r="G43" s="4">
        <v>6.5</v>
      </c>
      <c r="H43" s="24">
        <v>0.1875</v>
      </c>
      <c r="I43" s="24">
        <v>0.9166666666666666</v>
      </c>
      <c r="J43" s="4" t="s">
        <v>163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21" t="s">
        <v>164</v>
      </c>
      <c r="B44" s="22" t="s">
        <v>165</v>
      </c>
      <c r="C44" s="22" t="s">
        <v>153</v>
      </c>
      <c r="D44" s="22" t="s">
        <v>166</v>
      </c>
      <c r="E44" s="22">
        <v>13.0</v>
      </c>
      <c r="F44" s="23">
        <f t="shared" si="1"/>
        <v>10.4</v>
      </c>
      <c r="G44" s="4">
        <v>10.0</v>
      </c>
      <c r="H44" s="24">
        <v>0.1875</v>
      </c>
      <c r="I44" s="24">
        <v>0.9375</v>
      </c>
      <c r="J44" s="4" t="s">
        <v>167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25" t="s">
        <v>168</v>
      </c>
      <c r="B45" s="26" t="s">
        <v>152</v>
      </c>
      <c r="C45" s="26" t="s">
        <v>153</v>
      </c>
      <c r="D45" s="26" t="s">
        <v>169</v>
      </c>
      <c r="E45" s="26">
        <v>16.0</v>
      </c>
      <c r="F45" s="23">
        <f t="shared" si="1"/>
        <v>12.8</v>
      </c>
      <c r="G45" s="4">
        <v>22.0</v>
      </c>
      <c r="H45" s="24">
        <v>0.1875</v>
      </c>
      <c r="I45" s="24">
        <v>0.9166666666666666</v>
      </c>
      <c r="J45" s="4" t="s">
        <v>170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21" t="s">
        <v>158</v>
      </c>
      <c r="B46" s="22" t="s">
        <v>171</v>
      </c>
      <c r="C46" s="22" t="s">
        <v>153</v>
      </c>
      <c r="D46" s="22" t="s">
        <v>172</v>
      </c>
      <c r="E46" s="22">
        <v>13.0</v>
      </c>
      <c r="F46" s="23">
        <f t="shared" si="1"/>
        <v>10.4</v>
      </c>
      <c r="G46" s="4">
        <v>2.1</v>
      </c>
      <c r="H46" s="24">
        <v>0.20833333333333334</v>
      </c>
      <c r="I46" s="24">
        <v>0.9166666666666666</v>
      </c>
      <c r="J46" s="4" t="s">
        <v>155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25" t="s">
        <v>173</v>
      </c>
      <c r="B47" s="26" t="s">
        <v>151</v>
      </c>
      <c r="C47" s="26" t="s">
        <v>153</v>
      </c>
      <c r="D47" s="26" t="s">
        <v>174</v>
      </c>
      <c r="E47" s="26">
        <v>20.0</v>
      </c>
      <c r="F47" s="23">
        <f t="shared" si="1"/>
        <v>16</v>
      </c>
      <c r="G47" s="4">
        <v>2.8</v>
      </c>
      <c r="H47" s="24">
        <v>0.20833333333333334</v>
      </c>
      <c r="I47" s="24">
        <v>0.9583333333333334</v>
      </c>
      <c r="J47" s="4" t="s">
        <v>175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21" t="s">
        <v>176</v>
      </c>
      <c r="B48" s="22" t="s">
        <v>177</v>
      </c>
      <c r="C48" s="22" t="s">
        <v>178</v>
      </c>
      <c r="D48" s="22" t="s">
        <v>179</v>
      </c>
      <c r="E48" s="22">
        <v>52.0</v>
      </c>
      <c r="F48" s="23">
        <f t="shared" si="1"/>
        <v>41.6</v>
      </c>
      <c r="G48" s="27">
        <v>16.9</v>
      </c>
      <c r="H48" s="24">
        <v>0.22083333333333333</v>
      </c>
      <c r="I48" s="24">
        <v>0.8958333333333334</v>
      </c>
      <c r="J48" s="4" t="s">
        <v>180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25" t="s">
        <v>181</v>
      </c>
      <c r="B49" s="26" t="s">
        <v>182</v>
      </c>
      <c r="C49" s="26" t="s">
        <v>178</v>
      </c>
      <c r="D49" s="26" t="s">
        <v>183</v>
      </c>
      <c r="E49" s="26">
        <v>30.0</v>
      </c>
      <c r="F49" s="23">
        <f t="shared" si="1"/>
        <v>24</v>
      </c>
      <c r="G49" s="28">
        <v>4.5</v>
      </c>
      <c r="H49" s="24">
        <v>0.22083333333333333</v>
      </c>
      <c r="I49" s="24">
        <v>0.8958333333333334</v>
      </c>
      <c r="J49" s="4" t="s">
        <v>180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21" t="s">
        <v>184</v>
      </c>
      <c r="B50" s="22" t="s">
        <v>185</v>
      </c>
      <c r="C50" s="22" t="s">
        <v>178</v>
      </c>
      <c r="D50" s="22" t="s">
        <v>186</v>
      </c>
      <c r="E50" s="22">
        <v>29.0</v>
      </c>
      <c r="F50" s="23">
        <f t="shared" si="1"/>
        <v>23.2</v>
      </c>
      <c r="G50" s="27">
        <v>10.0</v>
      </c>
      <c r="H50" s="24">
        <v>0.22083333333333333</v>
      </c>
      <c r="I50" s="24">
        <v>0.8958333333333334</v>
      </c>
      <c r="J50" s="4" t="s">
        <v>180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25" t="s">
        <v>187</v>
      </c>
      <c r="B51" s="26" t="s">
        <v>188</v>
      </c>
      <c r="C51" s="26" t="s">
        <v>178</v>
      </c>
      <c r="D51" s="26" t="s">
        <v>189</v>
      </c>
      <c r="E51" s="26">
        <v>18.0</v>
      </c>
      <c r="F51" s="23">
        <f t="shared" si="1"/>
        <v>14.4</v>
      </c>
      <c r="G51" s="28">
        <v>13.0</v>
      </c>
      <c r="H51" s="24">
        <v>0.22083333333333333</v>
      </c>
      <c r="I51" s="24">
        <v>0.8958333333333334</v>
      </c>
      <c r="J51" s="4" t="s">
        <v>180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21" t="s">
        <v>190</v>
      </c>
      <c r="B52" s="22" t="s">
        <v>191</v>
      </c>
      <c r="C52" s="22" t="s">
        <v>178</v>
      </c>
      <c r="D52" s="22" t="s">
        <v>192</v>
      </c>
      <c r="E52" s="22">
        <v>28.0</v>
      </c>
      <c r="F52" s="23">
        <f t="shared" si="1"/>
        <v>22.4</v>
      </c>
      <c r="G52" s="27">
        <v>1.8</v>
      </c>
      <c r="H52" s="24">
        <v>0.22083333333333333</v>
      </c>
      <c r="I52" s="24">
        <v>0.8958333333333334</v>
      </c>
      <c r="J52" s="4" t="s">
        <v>180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25" t="s">
        <v>177</v>
      </c>
      <c r="B53" s="26" t="s">
        <v>184</v>
      </c>
      <c r="C53" s="26" t="s">
        <v>193</v>
      </c>
      <c r="D53" s="26" t="s">
        <v>194</v>
      </c>
      <c r="E53" s="26">
        <v>45.0</v>
      </c>
      <c r="F53" s="23">
        <f t="shared" si="1"/>
        <v>36</v>
      </c>
      <c r="G53" s="28">
        <v>6.0</v>
      </c>
      <c r="H53" s="24">
        <v>0.22083333333333333</v>
      </c>
      <c r="I53" s="24">
        <v>0.8958333333333334</v>
      </c>
      <c r="J53" s="4" t="s">
        <v>180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21" t="s">
        <v>195</v>
      </c>
      <c r="B54" s="22" t="s">
        <v>196</v>
      </c>
      <c r="C54" s="22" t="s">
        <v>197</v>
      </c>
      <c r="D54" s="22" t="s">
        <v>198</v>
      </c>
      <c r="E54" s="22">
        <v>76.0</v>
      </c>
      <c r="F54" s="23">
        <f t="shared" si="1"/>
        <v>60.8</v>
      </c>
      <c r="G54" s="27">
        <v>1.7</v>
      </c>
      <c r="H54" s="24">
        <v>0.22083333333333333</v>
      </c>
      <c r="I54" s="24">
        <v>0.8958333333333334</v>
      </c>
      <c r="J54" s="4" t="s">
        <v>180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25" t="s">
        <v>196</v>
      </c>
      <c r="B55" s="26" t="s">
        <v>195</v>
      </c>
      <c r="C55" s="26" t="s">
        <v>197</v>
      </c>
      <c r="D55" s="26" t="s">
        <v>199</v>
      </c>
      <c r="E55" s="26">
        <v>73.0</v>
      </c>
      <c r="F55" s="23">
        <f t="shared" si="1"/>
        <v>58.4</v>
      </c>
      <c r="G55" s="28">
        <v>9.3</v>
      </c>
      <c r="H55" s="24">
        <v>0.22083333333333333</v>
      </c>
      <c r="I55" s="24">
        <v>0.8958333333333334</v>
      </c>
      <c r="J55" s="4" t="s">
        <v>180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21" t="s">
        <v>200</v>
      </c>
      <c r="B56" s="22" t="s">
        <v>201</v>
      </c>
      <c r="C56" s="22" t="s">
        <v>197</v>
      </c>
      <c r="D56" s="22" t="s">
        <v>202</v>
      </c>
      <c r="E56" s="22">
        <v>34.0</v>
      </c>
      <c r="F56" s="23">
        <f t="shared" si="1"/>
        <v>27.2</v>
      </c>
      <c r="G56" s="27">
        <v>24.3</v>
      </c>
      <c r="H56" s="24">
        <v>0.20833333333333334</v>
      </c>
      <c r="I56" s="24">
        <v>0.9375</v>
      </c>
      <c r="J56" s="4" t="s">
        <v>203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25" t="s">
        <v>204</v>
      </c>
      <c r="B57" s="26" t="s">
        <v>205</v>
      </c>
      <c r="C57" s="26" t="s">
        <v>197</v>
      </c>
      <c r="D57" s="26" t="s">
        <v>206</v>
      </c>
      <c r="E57" s="26">
        <v>40.0</v>
      </c>
      <c r="F57" s="23">
        <f t="shared" si="1"/>
        <v>32</v>
      </c>
      <c r="G57" s="28">
        <v>9.4</v>
      </c>
      <c r="H57" s="24">
        <v>0.20833333333333334</v>
      </c>
      <c r="I57" s="24">
        <v>0.9375</v>
      </c>
      <c r="J57" s="4" t="s">
        <v>203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21" t="s">
        <v>207</v>
      </c>
      <c r="B58" s="22" t="s">
        <v>196</v>
      </c>
      <c r="C58" s="22" t="s">
        <v>197</v>
      </c>
      <c r="D58" s="22" t="s">
        <v>208</v>
      </c>
      <c r="E58" s="22">
        <v>55.0</v>
      </c>
      <c r="F58" s="23">
        <f t="shared" si="1"/>
        <v>44</v>
      </c>
      <c r="G58" s="27">
        <v>11.0</v>
      </c>
      <c r="H58" s="24">
        <v>0.20833333333333334</v>
      </c>
      <c r="I58" s="24">
        <v>0.9375</v>
      </c>
      <c r="J58" s="4" t="s">
        <v>203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25" t="s">
        <v>201</v>
      </c>
      <c r="B59" s="26" t="s">
        <v>196</v>
      </c>
      <c r="C59" s="26" t="s">
        <v>197</v>
      </c>
      <c r="D59" s="26" t="s">
        <v>209</v>
      </c>
      <c r="E59" s="26">
        <v>42.0</v>
      </c>
      <c r="F59" s="23">
        <f t="shared" si="1"/>
        <v>33.6</v>
      </c>
      <c r="G59" s="28">
        <v>3.1</v>
      </c>
      <c r="H59" s="24">
        <v>0.20833333333333334</v>
      </c>
      <c r="I59" s="24">
        <v>0.9375</v>
      </c>
      <c r="J59" s="4" t="s">
        <v>203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21" t="s">
        <v>210</v>
      </c>
      <c r="B60" s="22" t="s">
        <v>211</v>
      </c>
      <c r="C60" s="22" t="s">
        <v>26</v>
      </c>
      <c r="D60" s="22" t="s">
        <v>212</v>
      </c>
      <c r="E60" s="22">
        <v>15.0</v>
      </c>
      <c r="F60" s="23">
        <f t="shared" si="1"/>
        <v>12</v>
      </c>
      <c r="G60" s="27">
        <v>11.0</v>
      </c>
      <c r="H60" s="24">
        <v>0.20833333333333334</v>
      </c>
      <c r="I60" s="24">
        <v>0.9375</v>
      </c>
      <c r="J60" s="4" t="s">
        <v>203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25" t="s">
        <v>210</v>
      </c>
      <c r="B61" s="26" t="s">
        <v>213</v>
      </c>
      <c r="C61" s="26" t="s">
        <v>26</v>
      </c>
      <c r="D61" s="26" t="s">
        <v>214</v>
      </c>
      <c r="E61" s="26">
        <v>15.0</v>
      </c>
      <c r="F61" s="23">
        <f t="shared" si="1"/>
        <v>12</v>
      </c>
      <c r="G61" s="28">
        <v>19.8</v>
      </c>
      <c r="H61" s="24">
        <v>0.20833333333333334</v>
      </c>
      <c r="I61" s="24">
        <v>0.9375</v>
      </c>
      <c r="J61" s="4" t="s">
        <v>203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21" t="s">
        <v>211</v>
      </c>
      <c r="B62" s="22" t="s">
        <v>210</v>
      </c>
      <c r="C62" s="22" t="s">
        <v>26</v>
      </c>
      <c r="D62" s="22" t="s">
        <v>215</v>
      </c>
      <c r="E62" s="22">
        <v>15.0</v>
      </c>
      <c r="F62" s="23">
        <f t="shared" si="1"/>
        <v>12</v>
      </c>
      <c r="G62" s="27">
        <v>29.0</v>
      </c>
      <c r="H62" s="24">
        <v>0.16666666666666666</v>
      </c>
      <c r="I62" s="24">
        <v>0.9993055555555556</v>
      </c>
      <c r="J62" s="4" t="s">
        <v>180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25" t="s">
        <v>216</v>
      </c>
      <c r="B63" s="26" t="s">
        <v>217</v>
      </c>
      <c r="C63" s="26" t="s">
        <v>218</v>
      </c>
      <c r="D63" s="26" t="s">
        <v>219</v>
      </c>
      <c r="E63" s="26">
        <v>35.0</v>
      </c>
      <c r="F63" s="23">
        <f t="shared" si="1"/>
        <v>28</v>
      </c>
      <c r="G63" s="28">
        <v>29.0</v>
      </c>
      <c r="H63" s="24">
        <v>0.16666666666666666</v>
      </c>
      <c r="I63" s="24">
        <v>0.9583333333333334</v>
      </c>
      <c r="J63" s="4" t="s">
        <v>180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21" t="s">
        <v>217</v>
      </c>
      <c r="B64" s="22" t="s">
        <v>216</v>
      </c>
      <c r="C64" s="22" t="s">
        <v>218</v>
      </c>
      <c r="D64" s="22" t="s">
        <v>220</v>
      </c>
      <c r="E64" s="22">
        <v>35.0</v>
      </c>
      <c r="F64" s="23">
        <f t="shared" si="1"/>
        <v>28</v>
      </c>
      <c r="G64" s="27">
        <v>13.5</v>
      </c>
      <c r="H64" s="24">
        <v>0.16666666666666666</v>
      </c>
      <c r="I64" s="24">
        <v>0.9583333333333334</v>
      </c>
      <c r="J64" s="4" t="s">
        <v>180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25" t="s">
        <v>221</v>
      </c>
      <c r="B65" s="26" t="s">
        <v>216</v>
      </c>
      <c r="C65" s="26" t="s">
        <v>218</v>
      </c>
      <c r="D65" s="26" t="s">
        <v>222</v>
      </c>
      <c r="E65" s="26">
        <v>35.0</v>
      </c>
      <c r="F65" s="23">
        <f t="shared" si="1"/>
        <v>28</v>
      </c>
      <c r="G65" s="28">
        <v>15.8</v>
      </c>
      <c r="H65" s="24">
        <v>0.16666666666666666</v>
      </c>
      <c r="I65" s="24">
        <v>0.9583333333333334</v>
      </c>
      <c r="J65" s="4" t="s">
        <v>180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21" t="s">
        <v>223</v>
      </c>
      <c r="B66" s="22" t="s">
        <v>224</v>
      </c>
      <c r="C66" s="22" t="s">
        <v>218</v>
      </c>
      <c r="D66" s="22" t="s">
        <v>225</v>
      </c>
      <c r="E66" s="22">
        <v>45.0</v>
      </c>
      <c r="F66" s="23">
        <f t="shared" si="1"/>
        <v>36</v>
      </c>
      <c r="G66" s="27">
        <v>18.0</v>
      </c>
      <c r="H66" s="24">
        <v>0.16666666666666666</v>
      </c>
      <c r="I66" s="24">
        <v>0.9583333333333334</v>
      </c>
      <c r="J66" s="4" t="s">
        <v>180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25" t="s">
        <v>226</v>
      </c>
      <c r="B67" s="26" t="s">
        <v>227</v>
      </c>
      <c r="C67" s="26" t="s">
        <v>228</v>
      </c>
      <c r="D67" s="26" t="s">
        <v>229</v>
      </c>
      <c r="E67" s="26">
        <v>14.0</v>
      </c>
      <c r="F67" s="23">
        <f t="shared" si="1"/>
        <v>11.2</v>
      </c>
      <c r="G67" s="28">
        <v>11.6</v>
      </c>
      <c r="H67" s="24">
        <v>0.16666666666666666</v>
      </c>
      <c r="I67" s="24">
        <v>0.9583333333333334</v>
      </c>
      <c r="J67" s="4" t="s">
        <v>180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21" t="s">
        <v>230</v>
      </c>
      <c r="B68" s="22" t="s">
        <v>231</v>
      </c>
      <c r="C68" s="22" t="s">
        <v>228</v>
      </c>
      <c r="D68" s="22" t="s">
        <v>232</v>
      </c>
      <c r="E68" s="22">
        <v>14.0</v>
      </c>
      <c r="F68" s="23">
        <f t="shared" si="1"/>
        <v>11.2</v>
      </c>
      <c r="G68" s="27">
        <v>4.2</v>
      </c>
      <c r="H68" s="24">
        <v>0.20833333333333334</v>
      </c>
      <c r="I68" s="24">
        <v>0.9166666666666666</v>
      </c>
      <c r="J68" s="4" t="s">
        <v>180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25" t="s">
        <v>233</v>
      </c>
      <c r="B69" s="26" t="s">
        <v>234</v>
      </c>
      <c r="C69" s="26" t="s">
        <v>228</v>
      </c>
      <c r="D69" s="26" t="s">
        <v>235</v>
      </c>
      <c r="E69" s="26">
        <v>14.0</v>
      </c>
      <c r="F69" s="23">
        <f t="shared" si="1"/>
        <v>11.2</v>
      </c>
      <c r="G69" s="28">
        <v>3.7</v>
      </c>
      <c r="H69" s="24">
        <v>0.25</v>
      </c>
      <c r="I69" s="24">
        <v>0.875</v>
      </c>
      <c r="J69" s="4" t="s">
        <v>180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21" t="s">
        <v>236</v>
      </c>
      <c r="B70" s="22" t="s">
        <v>237</v>
      </c>
      <c r="C70" s="22" t="s">
        <v>228</v>
      </c>
      <c r="D70" s="22" t="s">
        <v>238</v>
      </c>
      <c r="E70" s="22">
        <v>14.0</v>
      </c>
      <c r="F70" s="23">
        <f t="shared" si="1"/>
        <v>11.2</v>
      </c>
      <c r="G70" s="27">
        <v>4.2</v>
      </c>
      <c r="H70" s="24">
        <v>0.20833333333333334</v>
      </c>
      <c r="I70" s="24">
        <v>0.9166666666666666</v>
      </c>
      <c r="J70" s="4" t="s">
        <v>180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25" t="s">
        <v>239</v>
      </c>
      <c r="B71" s="26" t="s">
        <v>240</v>
      </c>
      <c r="C71" s="26" t="s">
        <v>228</v>
      </c>
      <c r="D71" s="26" t="s">
        <v>241</v>
      </c>
      <c r="E71" s="26">
        <v>14.0</v>
      </c>
      <c r="F71" s="23">
        <f t="shared" si="1"/>
        <v>11.2</v>
      </c>
      <c r="G71" s="28">
        <v>13.0</v>
      </c>
      <c r="H71" s="24">
        <v>0.16666666666666666</v>
      </c>
      <c r="I71" s="24">
        <v>0.9166666666666666</v>
      </c>
      <c r="J71" s="4" t="s">
        <v>180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21" t="s">
        <v>242</v>
      </c>
      <c r="B72" s="22" t="s">
        <v>51</v>
      </c>
      <c r="C72" s="22" t="s">
        <v>243</v>
      </c>
      <c r="D72" s="22" t="s">
        <v>244</v>
      </c>
      <c r="E72" s="22">
        <v>14.0</v>
      </c>
      <c r="F72" s="23">
        <f t="shared" si="1"/>
        <v>11.2</v>
      </c>
      <c r="G72" s="27">
        <v>13.0</v>
      </c>
      <c r="H72" s="24">
        <v>0.16666666666666666</v>
      </c>
      <c r="I72" s="24">
        <v>0.9166666666666666</v>
      </c>
      <c r="J72" s="4" t="s">
        <v>180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25" t="s">
        <v>245</v>
      </c>
      <c r="B73" s="26" t="s">
        <v>246</v>
      </c>
      <c r="C73" s="26" t="s">
        <v>247</v>
      </c>
      <c r="D73" s="26" t="s">
        <v>248</v>
      </c>
      <c r="E73" s="26">
        <v>17.0</v>
      </c>
      <c r="F73" s="23">
        <f t="shared" si="1"/>
        <v>13.6</v>
      </c>
      <c r="G73" s="28">
        <v>10.0</v>
      </c>
      <c r="H73" s="24">
        <v>0.16666666666666666</v>
      </c>
      <c r="I73" s="24">
        <v>0.9166666666666666</v>
      </c>
      <c r="J73" s="4" t="s">
        <v>180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21" t="s">
        <v>249</v>
      </c>
      <c r="B74" s="22" t="s">
        <v>250</v>
      </c>
      <c r="C74" s="22" t="s">
        <v>247</v>
      </c>
      <c r="D74" s="22" t="s">
        <v>251</v>
      </c>
      <c r="E74" s="22">
        <v>17.0</v>
      </c>
      <c r="F74" s="23">
        <f t="shared" si="1"/>
        <v>13.6</v>
      </c>
      <c r="G74" s="27">
        <v>16.0</v>
      </c>
      <c r="H74" s="24">
        <v>0.16666666666666666</v>
      </c>
      <c r="I74" s="24">
        <v>0.9166666666666666</v>
      </c>
      <c r="J74" s="4" t="s">
        <v>180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25" t="s">
        <v>117</v>
      </c>
      <c r="B75" s="26" t="s">
        <v>252</v>
      </c>
      <c r="C75" s="26" t="s">
        <v>253</v>
      </c>
      <c r="D75" s="26" t="s">
        <v>254</v>
      </c>
      <c r="E75" s="26">
        <v>18.0</v>
      </c>
      <c r="F75" s="23">
        <f t="shared" si="1"/>
        <v>14.4</v>
      </c>
      <c r="G75" s="28">
        <v>1.2</v>
      </c>
      <c r="H75" s="24">
        <v>0.20833333333333334</v>
      </c>
      <c r="I75" s="24">
        <v>0.9166666666666666</v>
      </c>
      <c r="J75" s="4" t="s">
        <v>203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21" t="s">
        <v>255</v>
      </c>
      <c r="B76" s="22" t="s">
        <v>256</v>
      </c>
      <c r="C76" s="22" t="s">
        <v>257</v>
      </c>
      <c r="D76" s="22" t="s">
        <v>258</v>
      </c>
      <c r="E76" s="22">
        <v>15.0</v>
      </c>
      <c r="F76" s="23">
        <f t="shared" si="1"/>
        <v>12</v>
      </c>
      <c r="G76" s="27">
        <v>2.0</v>
      </c>
      <c r="H76" s="24">
        <v>0.20833333333333334</v>
      </c>
      <c r="I76" s="24">
        <v>0.9166666666666666</v>
      </c>
      <c r="J76" s="4" t="s">
        <v>203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25" t="s">
        <v>259</v>
      </c>
      <c r="B77" s="26" t="s">
        <v>260</v>
      </c>
      <c r="C77" s="26" t="s">
        <v>261</v>
      </c>
      <c r="D77" s="26" t="s">
        <v>262</v>
      </c>
      <c r="E77" s="26">
        <v>18.0</v>
      </c>
      <c r="F77" s="23">
        <f t="shared" si="1"/>
        <v>14.4</v>
      </c>
      <c r="G77" s="28">
        <v>2.8</v>
      </c>
      <c r="H77" s="24">
        <v>0.20833333333333334</v>
      </c>
      <c r="I77" s="24">
        <v>0.9166666666666666</v>
      </c>
      <c r="J77" s="4" t="s">
        <v>203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